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Analytics Lectures\Capstone\part1_data_cleaning\Data\"/>
    </mc:Choice>
  </mc:AlternateContent>
  <bookViews>
    <workbookView xWindow="0" yWindow="0" windowWidth="20490" windowHeight="7755"/>
  </bookViews>
  <sheets>
    <sheet name="Cleaned Orders" sheetId="1" r:id="rId1"/>
  </sheets>
  <calcPr calcId="152511"/>
</workbook>
</file>

<file path=xl/calcChain.xml><?xml version="1.0" encoding="utf-8"?>
<calcChain xmlns="http://schemas.openxmlformats.org/spreadsheetml/2006/main">
  <c r="Y32" i="1" l="1"/>
  <c r="X32" i="1"/>
  <c r="W32" i="1"/>
  <c r="V32" i="1"/>
  <c r="S32" i="1"/>
  <c r="T32" i="1" s="1"/>
  <c r="U32" i="1" s="1"/>
  <c r="R32" i="1"/>
  <c r="Y31" i="1"/>
  <c r="X31" i="1"/>
  <c r="W31" i="1"/>
  <c r="V31" i="1"/>
  <c r="S31" i="1"/>
  <c r="T31" i="1" s="1"/>
  <c r="U31" i="1" s="1"/>
  <c r="R31" i="1"/>
  <c r="Y30" i="1"/>
  <c r="X30" i="1"/>
  <c r="W30" i="1"/>
  <c r="V30" i="1"/>
  <c r="S30" i="1"/>
  <c r="T30" i="1" s="1"/>
  <c r="U30" i="1" s="1"/>
  <c r="R30" i="1"/>
  <c r="Y29" i="1"/>
  <c r="X29" i="1"/>
  <c r="W29" i="1"/>
  <c r="V29" i="1"/>
  <c r="S29" i="1"/>
  <c r="T29" i="1" s="1"/>
  <c r="U29" i="1" s="1"/>
  <c r="R29" i="1"/>
  <c r="Y28" i="1"/>
  <c r="X28" i="1"/>
  <c r="W28" i="1"/>
  <c r="V28" i="1"/>
  <c r="S28" i="1"/>
  <c r="T28" i="1" s="1"/>
  <c r="U28" i="1" s="1"/>
  <c r="R28" i="1"/>
  <c r="Y27" i="1"/>
  <c r="X27" i="1"/>
  <c r="W27" i="1"/>
  <c r="V27" i="1"/>
  <c r="S27" i="1"/>
  <c r="T27" i="1" s="1"/>
  <c r="U27" i="1" s="1"/>
  <c r="R27" i="1"/>
  <c r="Y26" i="1"/>
  <c r="X26" i="1"/>
  <c r="W26" i="1"/>
  <c r="V26" i="1"/>
  <c r="S26" i="1"/>
  <c r="T26" i="1" s="1"/>
  <c r="U26" i="1" s="1"/>
  <c r="R26" i="1"/>
  <c r="Y25" i="1"/>
  <c r="X25" i="1"/>
  <c r="W25" i="1"/>
  <c r="V25" i="1"/>
  <c r="S25" i="1"/>
  <c r="T25" i="1" s="1"/>
  <c r="U25" i="1" s="1"/>
  <c r="R25" i="1"/>
  <c r="Y24" i="1"/>
  <c r="X24" i="1"/>
  <c r="W24" i="1"/>
  <c r="V24" i="1"/>
  <c r="S24" i="1"/>
  <c r="T24" i="1" s="1"/>
  <c r="U24" i="1" s="1"/>
  <c r="R24" i="1"/>
  <c r="Y23" i="1"/>
  <c r="X23" i="1"/>
  <c r="W23" i="1"/>
  <c r="V23" i="1"/>
  <c r="S23" i="1"/>
  <c r="T23" i="1" s="1"/>
  <c r="U23" i="1" s="1"/>
  <c r="R23" i="1"/>
  <c r="Y22" i="1"/>
  <c r="X22" i="1"/>
  <c r="W22" i="1"/>
  <c r="V22" i="1"/>
  <c r="S22" i="1"/>
  <c r="T22" i="1" s="1"/>
  <c r="U22" i="1" s="1"/>
  <c r="R22" i="1"/>
  <c r="Y21" i="1"/>
  <c r="X21" i="1"/>
  <c r="W21" i="1"/>
  <c r="V21" i="1"/>
  <c r="S21" i="1"/>
  <c r="T21" i="1" s="1"/>
  <c r="U21" i="1" s="1"/>
  <c r="R21" i="1"/>
  <c r="Y20" i="1"/>
  <c r="X20" i="1"/>
  <c r="W20" i="1"/>
  <c r="V20" i="1"/>
  <c r="S20" i="1"/>
  <c r="T20" i="1" s="1"/>
  <c r="U20" i="1" s="1"/>
  <c r="R20" i="1"/>
  <c r="Y19" i="1"/>
  <c r="X19" i="1"/>
  <c r="W19" i="1"/>
  <c r="V19" i="1"/>
  <c r="S19" i="1"/>
  <c r="T19" i="1" s="1"/>
  <c r="U19" i="1" s="1"/>
  <c r="R19" i="1"/>
  <c r="Y18" i="1"/>
  <c r="X18" i="1"/>
  <c r="W18" i="1"/>
  <c r="V18" i="1"/>
  <c r="S18" i="1"/>
  <c r="T18" i="1" s="1"/>
  <c r="U18" i="1" s="1"/>
  <c r="R18" i="1"/>
  <c r="Y17" i="1"/>
  <c r="X17" i="1"/>
  <c r="W17" i="1"/>
  <c r="V17" i="1"/>
  <c r="S17" i="1"/>
  <c r="T17" i="1" s="1"/>
  <c r="U17" i="1" s="1"/>
  <c r="R17" i="1"/>
  <c r="Y16" i="1"/>
  <c r="X16" i="1"/>
  <c r="W16" i="1"/>
  <c r="V16" i="1"/>
  <c r="S16" i="1"/>
  <c r="T16" i="1" s="1"/>
  <c r="U16" i="1" s="1"/>
  <c r="R16" i="1"/>
  <c r="Y15" i="1"/>
  <c r="X15" i="1"/>
  <c r="W15" i="1"/>
  <c r="V15" i="1"/>
  <c r="S15" i="1"/>
  <c r="T15" i="1" s="1"/>
  <c r="U15" i="1" s="1"/>
  <c r="R15" i="1"/>
  <c r="Y14" i="1"/>
  <c r="X14" i="1"/>
  <c r="W14" i="1"/>
  <c r="V14" i="1"/>
  <c r="S14" i="1"/>
  <c r="T14" i="1" s="1"/>
  <c r="U14" i="1" s="1"/>
  <c r="R14" i="1"/>
  <c r="Y13" i="1"/>
  <c r="X13" i="1"/>
  <c r="W13" i="1"/>
  <c r="V13" i="1"/>
  <c r="S13" i="1"/>
  <c r="T13" i="1" s="1"/>
  <c r="U13" i="1" s="1"/>
  <c r="R13" i="1"/>
  <c r="Y12" i="1"/>
  <c r="X12" i="1"/>
  <c r="W12" i="1"/>
  <c r="V12" i="1"/>
  <c r="S12" i="1"/>
  <c r="T12" i="1" s="1"/>
  <c r="U12" i="1" s="1"/>
  <c r="R12" i="1"/>
  <c r="Y11" i="1"/>
  <c r="X11" i="1"/>
  <c r="W11" i="1"/>
  <c r="V11" i="1"/>
  <c r="S11" i="1"/>
  <c r="T11" i="1" s="1"/>
  <c r="U11" i="1" s="1"/>
  <c r="R11" i="1"/>
  <c r="Y10" i="1"/>
  <c r="X10" i="1"/>
  <c r="W10" i="1"/>
  <c r="V10" i="1"/>
  <c r="S10" i="1"/>
  <c r="T10" i="1" s="1"/>
  <c r="U10" i="1" s="1"/>
  <c r="R10" i="1"/>
  <c r="Y9" i="1"/>
  <c r="X9" i="1"/>
  <c r="W9" i="1"/>
  <c r="V9" i="1"/>
  <c r="S9" i="1"/>
  <c r="T9" i="1" s="1"/>
  <c r="U9" i="1" s="1"/>
  <c r="R9" i="1"/>
  <c r="Y8" i="1"/>
  <c r="X8" i="1"/>
  <c r="W8" i="1"/>
  <c r="V8" i="1"/>
  <c r="S8" i="1"/>
  <c r="T8" i="1" s="1"/>
  <c r="U8" i="1" s="1"/>
  <c r="R8" i="1"/>
  <c r="Y7" i="1"/>
  <c r="X7" i="1"/>
  <c r="W7" i="1"/>
  <c r="V7" i="1"/>
  <c r="S7" i="1"/>
  <c r="T7" i="1" s="1"/>
  <c r="U7" i="1" s="1"/>
  <c r="R7" i="1"/>
  <c r="Y6" i="1"/>
  <c r="X6" i="1"/>
  <c r="W6" i="1"/>
  <c r="V6" i="1"/>
  <c r="S6" i="1"/>
  <c r="T6" i="1" s="1"/>
  <c r="U6" i="1" s="1"/>
  <c r="R6" i="1"/>
  <c r="Y5" i="1"/>
  <c r="X5" i="1"/>
  <c r="W5" i="1"/>
  <c r="V5" i="1"/>
  <c r="S5" i="1"/>
  <c r="T5" i="1" s="1"/>
  <c r="U5" i="1" s="1"/>
  <c r="R5" i="1"/>
  <c r="Y4" i="1"/>
  <c r="X4" i="1"/>
  <c r="W4" i="1"/>
  <c r="V4" i="1"/>
  <c r="S4" i="1"/>
  <c r="T4" i="1" s="1"/>
  <c r="U4" i="1" s="1"/>
  <c r="R4" i="1"/>
  <c r="Y3" i="1"/>
  <c r="X3" i="1"/>
  <c r="W3" i="1"/>
  <c r="V3" i="1"/>
  <c r="S3" i="1"/>
  <c r="T3" i="1" s="1"/>
  <c r="U3" i="1" s="1"/>
  <c r="R3" i="1"/>
  <c r="Y2" i="1"/>
  <c r="X2" i="1"/>
  <c r="W2" i="1"/>
  <c r="V2" i="1"/>
  <c r="S2" i="1"/>
  <c r="T2" i="1" s="1"/>
  <c r="U2" i="1" s="1"/>
  <c r="R2" i="1"/>
</calcChain>
</file>

<file path=xl/sharedStrings.xml><?xml version="1.0" encoding="utf-8"?>
<sst xmlns="http://schemas.openxmlformats.org/spreadsheetml/2006/main" count="428" uniqueCount="211">
  <si>
    <t>order_id</t>
  </si>
  <si>
    <t>customer_name</t>
  </si>
  <si>
    <t>segment</t>
  </si>
  <si>
    <t>region</t>
  </si>
  <si>
    <t>state</t>
  </si>
  <si>
    <t>city</t>
  </si>
  <si>
    <t>category</t>
  </si>
  <si>
    <t>sub_category</t>
  </si>
  <si>
    <t>ship_mode</t>
  </si>
  <si>
    <t>order_date</t>
  </si>
  <si>
    <t>ship_date</t>
  </si>
  <si>
    <t>quantity</t>
  </si>
  <si>
    <t>unit_price</t>
  </si>
  <si>
    <t>discount</t>
  </si>
  <si>
    <t>cost</t>
  </si>
  <si>
    <t>payment_status</t>
  </si>
  <si>
    <t>order_status</t>
  </si>
  <si>
    <t>cleaned_discount</t>
  </si>
  <si>
    <t>calculated_sales</t>
  </si>
  <si>
    <t>calculated_profit</t>
  </si>
  <si>
    <t>profit_margin</t>
  </si>
  <si>
    <t>shipping_delay_days</t>
  </si>
  <si>
    <t>order_month</t>
  </si>
  <si>
    <t>order_year</t>
  </si>
  <si>
    <t>data_quality_flag</t>
  </si>
  <si>
    <t>ORD001</t>
  </si>
  <si>
    <t>John Doe</t>
  </si>
  <si>
    <t>Consumer</t>
  </si>
  <si>
    <t>East</t>
  </si>
  <si>
    <t>New York</t>
  </si>
  <si>
    <t>Technology</t>
  </si>
  <si>
    <t>Phones</t>
  </si>
  <si>
    <t>Standard Class</t>
  </si>
  <si>
    <t>2026-01-15</t>
  </si>
  <si>
    <t>2026-01-19</t>
  </si>
  <si>
    <t>Paid</t>
  </si>
  <si>
    <t>Completed</t>
  </si>
  <si>
    <t>ORD002</t>
  </si>
  <si>
    <t>Jane Smith</t>
  </si>
  <si>
    <t>Corporate</t>
  </si>
  <si>
    <t>West</t>
  </si>
  <si>
    <t>California</t>
  </si>
  <si>
    <t>Los Angeles</t>
  </si>
  <si>
    <t>Office Supplies</t>
  </si>
  <si>
    <t>Paper</t>
  </si>
  <si>
    <t>Second Class</t>
  </si>
  <si>
    <t>2026-01-16</t>
  </si>
  <si>
    <t>2026-01-18</t>
  </si>
  <si>
    <t>ORD003</t>
  </si>
  <si>
    <t>Bob Johnson</t>
  </si>
  <si>
    <t>Home office</t>
  </si>
  <si>
    <t>South</t>
  </si>
  <si>
    <t>Florida</t>
  </si>
  <si>
    <t>Miami</t>
  </si>
  <si>
    <t>Furniture</t>
  </si>
  <si>
    <t>Chairs</t>
  </si>
  <si>
    <t>First Class</t>
  </si>
  <si>
    <t>2026-01-17</t>
  </si>
  <si>
    <t>ORD004</t>
  </si>
  <si>
    <t>Alice Brown</t>
  </si>
  <si>
    <t>Unknown</t>
  </si>
  <si>
    <t>Texas</t>
  </si>
  <si>
    <t>Houston</t>
  </si>
  <si>
    <t>Accessories</t>
  </si>
  <si>
    <t>2026-01-20</t>
  </si>
  <si>
    <t>2026-01-25</t>
  </si>
  <si>
    <t>ORD005</t>
  </si>
  <si>
    <t>Charlie Green</t>
  </si>
  <si>
    <t>Pennsylvania</t>
  </si>
  <si>
    <t>Philadelphia</t>
  </si>
  <si>
    <t>Tables</t>
  </si>
  <si>
    <t>2026-01-22</t>
  </si>
  <si>
    <t>2026-01-28</t>
  </si>
  <si>
    <t>ORD006</t>
  </si>
  <si>
    <t>David White</t>
  </si>
  <si>
    <t>Washington</t>
  </si>
  <si>
    <t>Seattle</t>
  </si>
  <si>
    <t>Binders</t>
  </si>
  <si>
    <t>2026-01-29</t>
  </si>
  <si>
    <t>ORD007</t>
  </si>
  <si>
    <t>Emma Black</t>
  </si>
  <si>
    <t>Midwest</t>
  </si>
  <si>
    <t>Illinois</t>
  </si>
  <si>
    <t>Chicago</t>
  </si>
  <si>
    <t>Appliances</t>
  </si>
  <si>
    <t>2026-02-01</t>
  </si>
  <si>
    <t>2026-02-05</t>
  </si>
  <si>
    <t>Failed</t>
  </si>
  <si>
    <t>Cancelled</t>
  </si>
  <si>
    <t>ORD008</t>
  </si>
  <si>
    <t>Frank Miller</t>
  </si>
  <si>
    <t>Georgia</t>
  </si>
  <si>
    <t>Atlanta</t>
  </si>
  <si>
    <t>Art</t>
  </si>
  <si>
    <t>Same Day</t>
  </si>
  <si>
    <t>2026-02-03</t>
  </si>
  <si>
    <t>Refunded</t>
  </si>
  <si>
    <t>ORD009</t>
  </si>
  <si>
    <t>Grace Davis</t>
  </si>
  <si>
    <t>San Francisco</t>
  </si>
  <si>
    <t>2026-02-10</t>
  </si>
  <si>
    <t>ORD010</t>
  </si>
  <si>
    <t>Henry Wilson</t>
  </si>
  <si>
    <t>Massachusetts</t>
  </si>
  <si>
    <t>Boston</t>
  </si>
  <si>
    <t>2026-02-12</t>
  </si>
  <si>
    <t>2026-02-15</t>
  </si>
  <si>
    <t>ORD011</t>
  </si>
  <si>
    <t>Ivy Taylor</t>
  </si>
  <si>
    <t>Ohio</t>
  </si>
  <si>
    <t>Columbus</t>
  </si>
  <si>
    <t>Storage</t>
  </si>
  <si>
    <t>2026-02-20</t>
  </si>
  <si>
    <t>ORD012</t>
  </si>
  <si>
    <t>Jack Thomas</t>
  </si>
  <si>
    <t>2026-02-18</t>
  </si>
  <si>
    <t>2026-02-25</t>
  </si>
  <si>
    <t>ORD013</t>
  </si>
  <si>
    <t>Karen Martinez</t>
  </si>
  <si>
    <t>San Diego</t>
  </si>
  <si>
    <t>2026-02-22</t>
  </si>
  <si>
    <t>2026-02-24</t>
  </si>
  <si>
    <t>ORD014</t>
  </si>
  <si>
    <t>Leo Clark</t>
  </si>
  <si>
    <t>North Carolina</t>
  </si>
  <si>
    <t>Charlotte</t>
  </si>
  <si>
    <t>2026-03-02</t>
  </si>
  <si>
    <t>ORD015</t>
  </si>
  <si>
    <t>Mia Rodriguez</t>
  </si>
  <si>
    <t>Michigan</t>
  </si>
  <si>
    <t>Detroit</t>
  </si>
  <si>
    <t>2026-03-01</t>
  </si>
  <si>
    <t>2026-03-04</t>
  </si>
  <si>
    <t>ORD016</t>
  </si>
  <si>
    <t>Ord016_Conflicting</t>
  </si>
  <si>
    <t>Fasteners</t>
  </si>
  <si>
    <t>2026-03-03</t>
  </si>
  <si>
    <t>2026-03-07</t>
  </si>
  <si>
    <t>Sam Lewis</t>
  </si>
  <si>
    <t>ORD017</t>
  </si>
  <si>
    <t>Nancy Walker</t>
  </si>
  <si>
    <t>Arizona</t>
  </si>
  <si>
    <t>Phoenix</t>
  </si>
  <si>
    <t>2026-03-05</t>
  </si>
  <si>
    <t>2026-03-10</t>
  </si>
  <si>
    <t>ORD018</t>
  </si>
  <si>
    <t>Oscar Allen</t>
  </si>
  <si>
    <t>Virginia</t>
  </si>
  <si>
    <t>Richmond</t>
  </si>
  <si>
    <t>2026-03-08</t>
  </si>
  <si>
    <t>2026-03-12</t>
  </si>
  <si>
    <t>ORD019</t>
  </si>
  <si>
    <t>Paul Young</t>
  </si>
  <si>
    <t>Indiana</t>
  </si>
  <si>
    <t>Indianapolis</t>
  </si>
  <si>
    <t>Bookcases</t>
  </si>
  <si>
    <t>2026-03-18</t>
  </si>
  <si>
    <t>ORD020</t>
  </si>
  <si>
    <t>Rachel King</t>
  </si>
  <si>
    <t>New Jersey</t>
  </si>
  <si>
    <t>Newark</t>
  </si>
  <si>
    <t>2026-03-15</t>
  </si>
  <si>
    <t>2026-03-16</t>
  </si>
  <si>
    <t>ORD021</t>
  </si>
  <si>
    <t>Steve Wright</t>
  </si>
  <si>
    <t>Oregon</t>
  </si>
  <si>
    <t>Portland</t>
  </si>
  <si>
    <t>2026-03-19</t>
  </si>
  <si>
    <t>2026-03-24</t>
  </si>
  <si>
    <t>ORD022</t>
  </si>
  <si>
    <t>Tina Scott</t>
  </si>
  <si>
    <t>Tennessee</t>
  </si>
  <si>
    <t>Nashville</t>
  </si>
  <si>
    <t>2026-03-22</t>
  </si>
  <si>
    <t>2026-03-29</t>
  </si>
  <si>
    <t>ORD023</t>
  </si>
  <si>
    <t>Victor Green</t>
  </si>
  <si>
    <t>Wisconsin</t>
  </si>
  <si>
    <t>Milwaukee</t>
  </si>
  <si>
    <t>2026-03-25</t>
  </si>
  <si>
    <t>2026-03-28</t>
  </si>
  <si>
    <t>ORD024</t>
  </si>
  <si>
    <t>Wendy Baker</t>
  </si>
  <si>
    <t>Maryland</t>
  </si>
  <si>
    <t>Baltimore</t>
  </si>
  <si>
    <t>2026-04-01</t>
  </si>
  <si>
    <t>ORD025</t>
  </si>
  <si>
    <t>Xavier Lopez</t>
  </si>
  <si>
    <t>Nevada</t>
  </si>
  <si>
    <t>Las Vegas</t>
  </si>
  <si>
    <t>2026-04-02</t>
  </si>
  <si>
    <t>ORD026</t>
  </si>
  <si>
    <t>Yolanda Hill</t>
  </si>
  <si>
    <t>Alabama</t>
  </si>
  <si>
    <t>Birmingham</t>
  </si>
  <si>
    <t>2026-04-05</t>
  </si>
  <si>
    <t>2026-04-11</t>
  </si>
  <si>
    <t>ORD027</t>
  </si>
  <si>
    <t>Zachary Adams</t>
  </si>
  <si>
    <t>Minnesota</t>
  </si>
  <si>
    <t>Minneapolis</t>
  </si>
  <si>
    <t>2026-04-08</t>
  </si>
  <si>
    <t>2026-04-12</t>
  </si>
  <si>
    <t>ORD028</t>
  </si>
  <si>
    <t>2026-04-18</t>
  </si>
  <si>
    <t>ORD029</t>
  </si>
  <si>
    <t>2026-04-15</t>
  </si>
  <si>
    <t>2026-04-20</t>
  </si>
  <si>
    <t>ORD030</t>
  </si>
  <si>
    <t>2026-04-19</t>
  </si>
  <si>
    <t>2026-04-21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</si>
</sst>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yy\-mm\-dd\ h:mm:ss"/>
    <numFmt numFmtId="165" formatCode="0.0%"/>
    <numFmt numFmtId="166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65F91"/>
        <bgColor rgb="FF365F9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/>
    <xf numFmtId="166" fontId="2" fillId="0" borderId="1" xfId="0" applyNumberFormat="1" applyFont="1" applyBorder="1"/>
    <xf numFmtId="1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"/>
  <sheetViews>
    <sheetView tabSelected="1" workbookViewId="0">
      <selection activeCell="D11" sqref="D11"/>
    </sheetView>
  </sheetViews>
  <sheetFormatPr defaultRowHeight="15" x14ac:dyDescent="0.25"/>
  <cols>
    <col min="1" max="1" width="12" customWidth="1"/>
    <col min="2" max="2" width="21" customWidth="1"/>
    <col min="3" max="3" width="14" customWidth="1"/>
    <col min="4" max="4" width="12" customWidth="1"/>
    <col min="5" max="5" width="17" customWidth="1"/>
    <col min="6" max="6" width="16" customWidth="1"/>
    <col min="7" max="7" width="18" customWidth="1"/>
    <col min="8" max="8" width="15" customWidth="1"/>
    <col min="9" max="9" width="17" customWidth="1"/>
    <col min="10" max="11" width="13" customWidth="1"/>
    <col min="12" max="12" width="12" customWidth="1"/>
    <col min="13" max="13" width="13" customWidth="1"/>
    <col min="14" max="15" width="12" customWidth="1"/>
    <col min="16" max="16" width="17" customWidth="1"/>
    <col min="17" max="17" width="15" customWidth="1"/>
    <col min="18" max="18" width="56" customWidth="1"/>
    <col min="19" max="19" width="19" customWidth="1"/>
    <col min="20" max="20" width="20" customWidth="1"/>
    <col min="21" max="21" width="23" customWidth="1"/>
    <col min="22" max="22" width="33" customWidth="1"/>
    <col min="23" max="23" width="32" customWidth="1"/>
    <col min="24" max="24" width="24" customWidth="1"/>
    <col min="25" max="25" width="106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29</v>
      </c>
      <c r="G2" s="2" t="s">
        <v>30</v>
      </c>
      <c r="H2" s="2" t="s">
        <v>31</v>
      </c>
      <c r="I2" s="2" t="s">
        <v>32</v>
      </c>
      <c r="J2" s="3" t="s">
        <v>33</v>
      </c>
      <c r="K2" s="3" t="s">
        <v>34</v>
      </c>
      <c r="L2" s="2">
        <v>2</v>
      </c>
      <c r="M2" s="2">
        <v>500</v>
      </c>
      <c r="N2" s="2">
        <v>0.1</v>
      </c>
      <c r="O2" s="2">
        <v>700</v>
      </c>
      <c r="P2" s="2" t="s">
        <v>35</v>
      </c>
      <c r="Q2" s="2" t="s">
        <v>36</v>
      </c>
      <c r="R2" s="4">
        <f t="shared" ref="R2:R32" si="0">IF(N2="", 0, IF(N2&lt;0, 0, IF(N2&gt;1, N2/100, N2)))</f>
        <v>0.1</v>
      </c>
      <c r="S2" s="5">
        <f t="shared" ref="S2:S32" si="1">L2*M2*(1-R2)</f>
        <v>900</v>
      </c>
      <c r="T2" s="5">
        <f t="shared" ref="T2:T32" si="2">S2-O2</f>
        <v>200</v>
      </c>
      <c r="U2" s="4">
        <f t="shared" ref="U2:U32" si="3">IFERROR(T2/S2, 0)</f>
        <v>0.22222222222222221</v>
      </c>
      <c r="V2" s="6">
        <f t="shared" ref="V2:V32" si="4">DATEVALUE(K2)-DATEVALUE(J2)</f>
        <v>4</v>
      </c>
      <c r="W2" s="7" t="str">
        <f t="shared" ref="W2:W32" si="5">TEXT(DATEVALUE(J2), "mmmm")</f>
        <v>January</v>
      </c>
      <c r="X2" s="6">
        <f t="shared" ref="X2:X32" si="6">YEAR(DATEVALUE(J2))</f>
        <v>2026</v>
      </c>
      <c r="Y2" s="7" t="str">
        <f t="shared" ref="Y2:Y32" si="7">IF(OR(D2="Unknown", I2="Unknown"), "Warning", IF(DATEVALUE(K2)&lt;DATEVALUE(J2), "Invalid", "Clean"))</f>
        <v>Clean</v>
      </c>
    </row>
    <row r="3" spans="1:25" x14ac:dyDescent="0.25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43</v>
      </c>
      <c r="H3" s="2" t="s">
        <v>44</v>
      </c>
      <c r="I3" s="2" t="s">
        <v>45</v>
      </c>
      <c r="J3" s="3" t="s">
        <v>46</v>
      </c>
      <c r="K3" s="3" t="s">
        <v>47</v>
      </c>
      <c r="L3" s="2">
        <v>5</v>
      </c>
      <c r="M3" s="2">
        <v>20</v>
      </c>
      <c r="N3" s="2">
        <v>0</v>
      </c>
      <c r="O3" s="2">
        <v>40</v>
      </c>
      <c r="P3" s="2" t="s">
        <v>35</v>
      </c>
      <c r="Q3" s="2" t="s">
        <v>36</v>
      </c>
      <c r="R3" s="4">
        <f t="shared" si="0"/>
        <v>0</v>
      </c>
      <c r="S3" s="5">
        <f t="shared" si="1"/>
        <v>100</v>
      </c>
      <c r="T3" s="5">
        <f t="shared" si="2"/>
        <v>60</v>
      </c>
      <c r="U3" s="4">
        <f t="shared" si="3"/>
        <v>0.6</v>
      </c>
      <c r="V3" s="6">
        <f t="shared" si="4"/>
        <v>2</v>
      </c>
      <c r="W3" s="7" t="str">
        <f t="shared" si="5"/>
        <v>January</v>
      </c>
      <c r="X3" s="6">
        <f t="shared" si="6"/>
        <v>2026</v>
      </c>
      <c r="Y3" s="7" t="str">
        <f t="shared" si="7"/>
        <v>Clean</v>
      </c>
    </row>
    <row r="4" spans="1:25" x14ac:dyDescent="0.25">
      <c r="A4" s="2" t="s">
        <v>48</v>
      </c>
      <c r="B4" s="2" t="s">
        <v>49</v>
      </c>
      <c r="C4" s="2" t="s">
        <v>50</v>
      </c>
      <c r="D4" s="2" t="s">
        <v>51</v>
      </c>
      <c r="E4" s="2" t="s">
        <v>52</v>
      </c>
      <c r="F4" s="2" t="s">
        <v>53</v>
      </c>
      <c r="G4" s="2" t="s">
        <v>54</v>
      </c>
      <c r="H4" s="2" t="s">
        <v>55</v>
      </c>
      <c r="I4" s="2" t="s">
        <v>56</v>
      </c>
      <c r="J4" s="3" t="s">
        <v>47</v>
      </c>
      <c r="K4" s="3" t="s">
        <v>57</v>
      </c>
      <c r="L4" s="2">
        <v>1</v>
      </c>
      <c r="M4" s="2">
        <v>150</v>
      </c>
      <c r="N4" s="2">
        <v>0</v>
      </c>
      <c r="O4" s="2">
        <v>100</v>
      </c>
      <c r="P4" s="2" t="s">
        <v>35</v>
      </c>
      <c r="Q4" s="2" t="s">
        <v>36</v>
      </c>
      <c r="R4" s="4">
        <f t="shared" si="0"/>
        <v>0</v>
      </c>
      <c r="S4" s="5">
        <f t="shared" si="1"/>
        <v>150</v>
      </c>
      <c r="T4" s="5">
        <f t="shared" si="2"/>
        <v>50</v>
      </c>
      <c r="U4" s="4">
        <f t="shared" si="3"/>
        <v>0.33333333333333331</v>
      </c>
      <c r="V4" s="6">
        <f t="shared" si="4"/>
        <v>-1</v>
      </c>
      <c r="W4" s="7" t="str">
        <f t="shared" si="5"/>
        <v>January</v>
      </c>
      <c r="X4" s="6">
        <f t="shared" si="6"/>
        <v>2026</v>
      </c>
      <c r="Y4" s="7" t="str">
        <f t="shared" si="7"/>
        <v>Invalid</v>
      </c>
    </row>
    <row r="5" spans="1:25" x14ac:dyDescent="0.25">
      <c r="A5" s="2" t="s">
        <v>58</v>
      </c>
      <c r="B5" s="2" t="s">
        <v>59</v>
      </c>
      <c r="C5" s="2" t="s">
        <v>27</v>
      </c>
      <c r="D5" s="2" t="s">
        <v>60</v>
      </c>
      <c r="E5" s="2" t="s">
        <v>61</v>
      </c>
      <c r="F5" s="2" t="s">
        <v>62</v>
      </c>
      <c r="G5" s="2" t="s">
        <v>30</v>
      </c>
      <c r="H5" s="2" t="s">
        <v>63</v>
      </c>
      <c r="I5" s="2" t="s">
        <v>32</v>
      </c>
      <c r="J5" s="3" t="s">
        <v>64</v>
      </c>
      <c r="K5" s="3" t="s">
        <v>65</v>
      </c>
      <c r="L5" s="2">
        <v>3</v>
      </c>
      <c r="M5" s="2">
        <v>40</v>
      </c>
      <c r="N5" s="2"/>
      <c r="O5" s="2">
        <v>60</v>
      </c>
      <c r="P5" s="2" t="s">
        <v>35</v>
      </c>
      <c r="Q5" s="2" t="s">
        <v>36</v>
      </c>
      <c r="R5" s="4">
        <f t="shared" si="0"/>
        <v>0</v>
      </c>
      <c r="S5" s="5">
        <f t="shared" si="1"/>
        <v>120</v>
      </c>
      <c r="T5" s="5">
        <f t="shared" si="2"/>
        <v>60</v>
      </c>
      <c r="U5" s="4">
        <f t="shared" si="3"/>
        <v>0.5</v>
      </c>
      <c r="V5" s="6">
        <f t="shared" si="4"/>
        <v>5</v>
      </c>
      <c r="W5" s="7" t="str">
        <f t="shared" si="5"/>
        <v>January</v>
      </c>
      <c r="X5" s="6">
        <f t="shared" si="6"/>
        <v>2026</v>
      </c>
      <c r="Y5" s="7" t="str">
        <f t="shared" si="7"/>
        <v>Warning</v>
      </c>
    </row>
    <row r="6" spans="1:25" x14ac:dyDescent="0.25">
      <c r="A6" s="2" t="s">
        <v>66</v>
      </c>
      <c r="B6" s="2" t="s">
        <v>67</v>
      </c>
      <c r="C6" s="2" t="s">
        <v>39</v>
      </c>
      <c r="D6" s="2" t="s">
        <v>28</v>
      </c>
      <c r="E6" s="2" t="s">
        <v>68</v>
      </c>
      <c r="F6" s="2" t="s">
        <v>69</v>
      </c>
      <c r="G6" s="2" t="s">
        <v>54</v>
      </c>
      <c r="H6" s="2" t="s">
        <v>70</v>
      </c>
      <c r="I6" s="2" t="s">
        <v>32</v>
      </c>
      <c r="J6" s="3" t="s">
        <v>71</v>
      </c>
      <c r="K6" s="3" t="s">
        <v>72</v>
      </c>
      <c r="L6" s="2">
        <v>1</v>
      </c>
      <c r="M6" s="2">
        <v>300</v>
      </c>
      <c r="N6" s="2">
        <v>-0.05</v>
      </c>
      <c r="O6" s="2">
        <v>250</v>
      </c>
      <c r="P6" s="2" t="s">
        <v>35</v>
      </c>
      <c r="Q6" s="2" t="s">
        <v>36</v>
      </c>
      <c r="R6" s="4">
        <f t="shared" si="0"/>
        <v>0</v>
      </c>
      <c r="S6" s="5">
        <f t="shared" si="1"/>
        <v>300</v>
      </c>
      <c r="T6" s="5">
        <f t="shared" si="2"/>
        <v>50</v>
      </c>
      <c r="U6" s="4">
        <f t="shared" si="3"/>
        <v>0.16666666666666666</v>
      </c>
      <c r="V6" s="6">
        <f t="shared" si="4"/>
        <v>6</v>
      </c>
      <c r="W6" s="7" t="str">
        <f t="shared" si="5"/>
        <v>January</v>
      </c>
      <c r="X6" s="6">
        <f t="shared" si="6"/>
        <v>2026</v>
      </c>
      <c r="Y6" s="7" t="str">
        <f t="shared" si="7"/>
        <v>Clean</v>
      </c>
    </row>
    <row r="7" spans="1:25" x14ac:dyDescent="0.25">
      <c r="A7" s="2" t="s">
        <v>73</v>
      </c>
      <c r="B7" s="2" t="s">
        <v>74</v>
      </c>
      <c r="C7" s="2" t="s">
        <v>27</v>
      </c>
      <c r="D7" s="2" t="s">
        <v>40</v>
      </c>
      <c r="E7" s="2" t="s">
        <v>75</v>
      </c>
      <c r="F7" s="2" t="s">
        <v>76</v>
      </c>
      <c r="G7" s="2" t="s">
        <v>43</v>
      </c>
      <c r="H7" s="2" t="s">
        <v>77</v>
      </c>
      <c r="I7" s="2" t="s">
        <v>60</v>
      </c>
      <c r="J7" s="3" t="s">
        <v>65</v>
      </c>
      <c r="K7" s="3" t="s">
        <v>78</v>
      </c>
      <c r="L7" s="2">
        <v>10</v>
      </c>
      <c r="M7" s="2">
        <v>5</v>
      </c>
      <c r="N7" s="2">
        <v>20</v>
      </c>
      <c r="O7" s="2">
        <v>30</v>
      </c>
      <c r="P7" s="2" t="s">
        <v>35</v>
      </c>
      <c r="Q7" s="2" t="s">
        <v>36</v>
      </c>
      <c r="R7" s="4">
        <f t="shared" si="0"/>
        <v>0.2</v>
      </c>
      <c r="S7" s="5">
        <f t="shared" si="1"/>
        <v>40</v>
      </c>
      <c r="T7" s="5">
        <f t="shared" si="2"/>
        <v>10</v>
      </c>
      <c r="U7" s="4">
        <f t="shared" si="3"/>
        <v>0.25</v>
      </c>
      <c r="V7" s="6">
        <f t="shared" si="4"/>
        <v>4</v>
      </c>
      <c r="W7" s="7" t="str">
        <f t="shared" si="5"/>
        <v>January</v>
      </c>
      <c r="X7" s="6">
        <f t="shared" si="6"/>
        <v>2026</v>
      </c>
      <c r="Y7" s="7" t="str">
        <f t="shared" si="7"/>
        <v>Warning</v>
      </c>
    </row>
    <row r="8" spans="1:25" x14ac:dyDescent="0.25">
      <c r="A8" s="2" t="s">
        <v>79</v>
      </c>
      <c r="B8" s="2" t="s">
        <v>80</v>
      </c>
      <c r="C8" s="2" t="s">
        <v>50</v>
      </c>
      <c r="D8" s="2" t="s">
        <v>81</v>
      </c>
      <c r="E8" s="2" t="s">
        <v>82</v>
      </c>
      <c r="F8" s="2" t="s">
        <v>83</v>
      </c>
      <c r="G8" s="2" t="s">
        <v>30</v>
      </c>
      <c r="H8" s="2" t="s">
        <v>84</v>
      </c>
      <c r="I8" s="2" t="s">
        <v>32</v>
      </c>
      <c r="J8" s="3" t="s">
        <v>85</v>
      </c>
      <c r="K8" s="3" t="s">
        <v>86</v>
      </c>
      <c r="L8" s="2">
        <v>2</v>
      </c>
      <c r="M8" s="2">
        <v>100</v>
      </c>
      <c r="N8" s="2">
        <v>0.15</v>
      </c>
      <c r="O8" s="2">
        <v>120</v>
      </c>
      <c r="P8" s="2" t="s">
        <v>87</v>
      </c>
      <c r="Q8" s="2" t="s">
        <v>88</v>
      </c>
      <c r="R8" s="4">
        <f t="shared" si="0"/>
        <v>0.15</v>
      </c>
      <c r="S8" s="5">
        <f t="shared" si="1"/>
        <v>170</v>
      </c>
      <c r="T8" s="5">
        <f t="shared" si="2"/>
        <v>50</v>
      </c>
      <c r="U8" s="4">
        <f t="shared" si="3"/>
        <v>0.29411764705882354</v>
      </c>
      <c r="V8" s="6">
        <f t="shared" si="4"/>
        <v>4</v>
      </c>
      <c r="W8" s="7" t="str">
        <f t="shared" si="5"/>
        <v>February</v>
      </c>
      <c r="X8" s="6">
        <f t="shared" si="6"/>
        <v>2026</v>
      </c>
      <c r="Y8" s="7" t="str">
        <f t="shared" si="7"/>
        <v>Clean</v>
      </c>
    </row>
    <row r="9" spans="1:25" x14ac:dyDescent="0.25">
      <c r="A9" s="2" t="s">
        <v>89</v>
      </c>
      <c r="B9" s="2" t="s">
        <v>90</v>
      </c>
      <c r="C9" s="2" t="s">
        <v>27</v>
      </c>
      <c r="D9" s="2" t="s">
        <v>51</v>
      </c>
      <c r="E9" s="2" t="s">
        <v>91</v>
      </c>
      <c r="F9" s="2" t="s">
        <v>92</v>
      </c>
      <c r="G9" s="2" t="s">
        <v>43</v>
      </c>
      <c r="H9" s="2" t="s">
        <v>93</v>
      </c>
      <c r="I9" s="2" t="s">
        <v>94</v>
      </c>
      <c r="J9" s="3" t="s">
        <v>95</v>
      </c>
      <c r="K9" s="3" t="s">
        <v>95</v>
      </c>
      <c r="L9" s="2">
        <v>4</v>
      </c>
      <c r="M9" s="2">
        <v>15</v>
      </c>
      <c r="N9" s="2">
        <v>0</v>
      </c>
      <c r="O9" s="2">
        <v>40</v>
      </c>
      <c r="P9" s="2" t="s">
        <v>35</v>
      </c>
      <c r="Q9" s="2" t="s">
        <v>96</v>
      </c>
      <c r="R9" s="4">
        <f t="shared" si="0"/>
        <v>0</v>
      </c>
      <c r="S9" s="5">
        <f t="shared" si="1"/>
        <v>60</v>
      </c>
      <c r="T9" s="5">
        <f t="shared" si="2"/>
        <v>20</v>
      </c>
      <c r="U9" s="4">
        <f t="shared" si="3"/>
        <v>0.33333333333333331</v>
      </c>
      <c r="V9" s="6">
        <f t="shared" si="4"/>
        <v>0</v>
      </c>
      <c r="W9" s="7" t="str">
        <f t="shared" si="5"/>
        <v>February</v>
      </c>
      <c r="X9" s="6">
        <f t="shared" si="6"/>
        <v>2026</v>
      </c>
      <c r="Y9" s="7" t="str">
        <f t="shared" si="7"/>
        <v>Clean</v>
      </c>
    </row>
    <row r="10" spans="1:25" x14ac:dyDescent="0.25">
      <c r="A10" s="2" t="s">
        <v>97</v>
      </c>
      <c r="B10" s="2" t="s">
        <v>98</v>
      </c>
      <c r="C10" s="2" t="s">
        <v>39</v>
      </c>
      <c r="D10" s="2" t="s">
        <v>40</v>
      </c>
      <c r="E10" s="2" t="s">
        <v>41</v>
      </c>
      <c r="F10" s="2" t="s">
        <v>99</v>
      </c>
      <c r="G10" s="2" t="s">
        <v>54</v>
      </c>
      <c r="H10" s="2" t="s">
        <v>55</v>
      </c>
      <c r="I10" s="2" t="s">
        <v>32</v>
      </c>
      <c r="J10" s="3" t="s">
        <v>86</v>
      </c>
      <c r="K10" s="3" t="s">
        <v>100</v>
      </c>
      <c r="L10" s="2">
        <v>2</v>
      </c>
      <c r="M10" s="2">
        <v>250</v>
      </c>
      <c r="N10" s="2">
        <v>0.1</v>
      </c>
      <c r="O10" s="2">
        <v>350</v>
      </c>
      <c r="P10" s="2" t="s">
        <v>35</v>
      </c>
      <c r="Q10" s="2" t="s">
        <v>36</v>
      </c>
      <c r="R10" s="4">
        <f t="shared" si="0"/>
        <v>0.1</v>
      </c>
      <c r="S10" s="5">
        <f t="shared" si="1"/>
        <v>450</v>
      </c>
      <c r="T10" s="5">
        <f t="shared" si="2"/>
        <v>100</v>
      </c>
      <c r="U10" s="4">
        <f t="shared" si="3"/>
        <v>0.22222222222222221</v>
      </c>
      <c r="V10" s="6">
        <f t="shared" si="4"/>
        <v>5</v>
      </c>
      <c r="W10" s="7" t="str">
        <f t="shared" si="5"/>
        <v>February</v>
      </c>
      <c r="X10" s="6">
        <f t="shared" si="6"/>
        <v>2026</v>
      </c>
      <c r="Y10" s="7" t="str">
        <f t="shared" si="7"/>
        <v>Clean</v>
      </c>
    </row>
    <row r="11" spans="1:25" x14ac:dyDescent="0.25">
      <c r="A11" s="2" t="s">
        <v>101</v>
      </c>
      <c r="B11" s="2" t="s">
        <v>102</v>
      </c>
      <c r="C11" s="2" t="s">
        <v>27</v>
      </c>
      <c r="D11" s="2" t="s">
        <v>28</v>
      </c>
      <c r="E11" s="2" t="s">
        <v>103</v>
      </c>
      <c r="F11" s="2" t="s">
        <v>104</v>
      </c>
      <c r="G11" s="2" t="s">
        <v>30</v>
      </c>
      <c r="H11" s="2" t="s">
        <v>31</v>
      </c>
      <c r="I11" s="2" t="s">
        <v>45</v>
      </c>
      <c r="J11" s="3" t="s">
        <v>105</v>
      </c>
      <c r="K11" s="3" t="s">
        <v>106</v>
      </c>
      <c r="L11" s="2">
        <v>1</v>
      </c>
      <c r="M11" s="2">
        <v>800</v>
      </c>
      <c r="N11" s="2">
        <v>0.5</v>
      </c>
      <c r="O11" s="2">
        <v>500</v>
      </c>
      <c r="P11" s="2" t="s">
        <v>35</v>
      </c>
      <c r="Q11" s="2" t="s">
        <v>36</v>
      </c>
      <c r="R11" s="4">
        <f t="shared" si="0"/>
        <v>0.5</v>
      </c>
      <c r="S11" s="5">
        <f t="shared" si="1"/>
        <v>400</v>
      </c>
      <c r="T11" s="5">
        <f t="shared" si="2"/>
        <v>-100</v>
      </c>
      <c r="U11" s="4">
        <f t="shared" si="3"/>
        <v>-0.25</v>
      </c>
      <c r="V11" s="6">
        <f t="shared" si="4"/>
        <v>3</v>
      </c>
      <c r="W11" s="7" t="str">
        <f t="shared" si="5"/>
        <v>February</v>
      </c>
      <c r="X11" s="6">
        <f t="shared" si="6"/>
        <v>2026</v>
      </c>
      <c r="Y11" s="7" t="str">
        <f t="shared" si="7"/>
        <v>Clean</v>
      </c>
    </row>
    <row r="12" spans="1:25" x14ac:dyDescent="0.25">
      <c r="A12" s="2" t="s">
        <v>107</v>
      </c>
      <c r="B12" s="2" t="s">
        <v>108</v>
      </c>
      <c r="C12" s="2" t="s">
        <v>39</v>
      </c>
      <c r="D12" s="2" t="s">
        <v>81</v>
      </c>
      <c r="E12" s="2" t="s">
        <v>109</v>
      </c>
      <c r="F12" s="2" t="s">
        <v>110</v>
      </c>
      <c r="G12" s="2" t="s">
        <v>43</v>
      </c>
      <c r="H12" s="2" t="s">
        <v>111</v>
      </c>
      <c r="I12" s="2" t="s">
        <v>32</v>
      </c>
      <c r="J12" s="3" t="s">
        <v>106</v>
      </c>
      <c r="K12" s="3" t="s">
        <v>112</v>
      </c>
      <c r="L12" s="2">
        <v>3</v>
      </c>
      <c r="M12" s="2">
        <v>45</v>
      </c>
      <c r="N12" s="2">
        <v>0</v>
      </c>
      <c r="O12" s="2">
        <v>90</v>
      </c>
      <c r="P12" s="2" t="s">
        <v>35</v>
      </c>
      <c r="Q12" s="2" t="s">
        <v>36</v>
      </c>
      <c r="R12" s="4">
        <f t="shared" si="0"/>
        <v>0</v>
      </c>
      <c r="S12" s="5">
        <f t="shared" si="1"/>
        <v>135</v>
      </c>
      <c r="T12" s="5">
        <f t="shared" si="2"/>
        <v>45</v>
      </c>
      <c r="U12" s="4">
        <f t="shared" si="3"/>
        <v>0.33333333333333331</v>
      </c>
      <c r="V12" s="6">
        <f t="shared" si="4"/>
        <v>5</v>
      </c>
      <c r="W12" s="7" t="str">
        <f t="shared" si="5"/>
        <v>February</v>
      </c>
      <c r="X12" s="6">
        <f t="shared" si="6"/>
        <v>2026</v>
      </c>
      <c r="Y12" s="7" t="str">
        <f t="shared" si="7"/>
        <v>Clean</v>
      </c>
    </row>
    <row r="13" spans="1:25" x14ac:dyDescent="0.25">
      <c r="A13" s="2" t="s">
        <v>113</v>
      </c>
      <c r="B13" s="2" t="s">
        <v>114</v>
      </c>
      <c r="C13" s="2" t="s">
        <v>50</v>
      </c>
      <c r="D13" s="2" t="s">
        <v>28</v>
      </c>
      <c r="E13" s="2" t="s">
        <v>29</v>
      </c>
      <c r="F13" s="2" t="s">
        <v>29</v>
      </c>
      <c r="G13" s="2" t="s">
        <v>54</v>
      </c>
      <c r="H13" s="2" t="s">
        <v>70</v>
      </c>
      <c r="I13" s="2" t="s">
        <v>32</v>
      </c>
      <c r="J13" s="3" t="s">
        <v>115</v>
      </c>
      <c r="K13" s="3" t="s">
        <v>116</v>
      </c>
      <c r="L13" s="2">
        <v>1</v>
      </c>
      <c r="M13" s="2">
        <v>400</v>
      </c>
      <c r="N13" s="2">
        <v>0.25</v>
      </c>
      <c r="O13" s="2">
        <v>350</v>
      </c>
      <c r="P13" s="2" t="s">
        <v>35</v>
      </c>
      <c r="Q13" s="2" t="s">
        <v>36</v>
      </c>
      <c r="R13" s="4">
        <f t="shared" si="0"/>
        <v>0.25</v>
      </c>
      <c r="S13" s="5">
        <f t="shared" si="1"/>
        <v>300</v>
      </c>
      <c r="T13" s="5">
        <f t="shared" si="2"/>
        <v>-50</v>
      </c>
      <c r="U13" s="4">
        <f t="shared" si="3"/>
        <v>-0.16666666666666666</v>
      </c>
      <c r="V13" s="6">
        <f t="shared" si="4"/>
        <v>7</v>
      </c>
      <c r="W13" s="7" t="str">
        <f t="shared" si="5"/>
        <v>February</v>
      </c>
      <c r="X13" s="6">
        <f t="shared" si="6"/>
        <v>2026</v>
      </c>
      <c r="Y13" s="7" t="str">
        <f t="shared" si="7"/>
        <v>Clean</v>
      </c>
    </row>
    <row r="14" spans="1:25" x14ac:dyDescent="0.25">
      <c r="A14" s="2" t="s">
        <v>117</v>
      </c>
      <c r="B14" s="2" t="s">
        <v>118</v>
      </c>
      <c r="C14" s="2" t="s">
        <v>27</v>
      </c>
      <c r="D14" s="2" t="s">
        <v>40</v>
      </c>
      <c r="E14" s="2" t="s">
        <v>41</v>
      </c>
      <c r="F14" s="2" t="s">
        <v>119</v>
      </c>
      <c r="G14" s="2" t="s">
        <v>30</v>
      </c>
      <c r="H14" s="2" t="s">
        <v>63</v>
      </c>
      <c r="I14" s="2" t="s">
        <v>56</v>
      </c>
      <c r="J14" s="3" t="s">
        <v>120</v>
      </c>
      <c r="K14" s="3" t="s">
        <v>121</v>
      </c>
      <c r="L14" s="2">
        <v>5</v>
      </c>
      <c r="M14" s="2">
        <v>30</v>
      </c>
      <c r="N14" s="2">
        <v>0</v>
      </c>
      <c r="O14" s="2">
        <v>100</v>
      </c>
      <c r="P14" s="2" t="s">
        <v>35</v>
      </c>
      <c r="Q14" s="2" t="s">
        <v>36</v>
      </c>
      <c r="R14" s="4">
        <f t="shared" si="0"/>
        <v>0</v>
      </c>
      <c r="S14" s="5">
        <f t="shared" si="1"/>
        <v>150</v>
      </c>
      <c r="T14" s="5">
        <f t="shared" si="2"/>
        <v>50</v>
      </c>
      <c r="U14" s="4">
        <f t="shared" si="3"/>
        <v>0.33333333333333331</v>
      </c>
      <c r="V14" s="6">
        <f t="shared" si="4"/>
        <v>2</v>
      </c>
      <c r="W14" s="7" t="str">
        <f t="shared" si="5"/>
        <v>February</v>
      </c>
      <c r="X14" s="6">
        <f t="shared" si="6"/>
        <v>2026</v>
      </c>
      <c r="Y14" s="7" t="str">
        <f t="shared" si="7"/>
        <v>Clean</v>
      </c>
    </row>
    <row r="15" spans="1:25" x14ac:dyDescent="0.25">
      <c r="A15" s="2" t="s">
        <v>122</v>
      </c>
      <c r="B15" s="2" t="s">
        <v>123</v>
      </c>
      <c r="C15" s="2" t="s">
        <v>39</v>
      </c>
      <c r="D15" s="2" t="s">
        <v>51</v>
      </c>
      <c r="E15" s="2" t="s">
        <v>124</v>
      </c>
      <c r="F15" s="2" t="s">
        <v>125</v>
      </c>
      <c r="G15" s="2" t="s">
        <v>43</v>
      </c>
      <c r="H15" s="2" t="s">
        <v>44</v>
      </c>
      <c r="I15" s="2" t="s">
        <v>32</v>
      </c>
      <c r="J15" s="3" t="s">
        <v>116</v>
      </c>
      <c r="K15" s="3" t="s">
        <v>126</v>
      </c>
      <c r="L15" s="2">
        <v>8</v>
      </c>
      <c r="M15" s="2">
        <v>12</v>
      </c>
      <c r="N15" s="2">
        <v>0</v>
      </c>
      <c r="O15" s="2">
        <v>50</v>
      </c>
      <c r="P15" s="2" t="s">
        <v>35</v>
      </c>
      <c r="Q15" s="2" t="s">
        <v>36</v>
      </c>
      <c r="R15" s="4">
        <f t="shared" si="0"/>
        <v>0</v>
      </c>
      <c r="S15" s="5">
        <f t="shared" si="1"/>
        <v>96</v>
      </c>
      <c r="T15" s="5">
        <f t="shared" si="2"/>
        <v>46</v>
      </c>
      <c r="U15" s="4">
        <f t="shared" si="3"/>
        <v>0.47916666666666669</v>
      </c>
      <c r="V15" s="6">
        <f t="shared" si="4"/>
        <v>5</v>
      </c>
      <c r="W15" s="7" t="str">
        <f t="shared" si="5"/>
        <v>February</v>
      </c>
      <c r="X15" s="6">
        <f t="shared" si="6"/>
        <v>2026</v>
      </c>
      <c r="Y15" s="7" t="str">
        <f t="shared" si="7"/>
        <v>Clean</v>
      </c>
    </row>
    <row r="16" spans="1:25" x14ac:dyDescent="0.25">
      <c r="A16" s="2" t="s">
        <v>127</v>
      </c>
      <c r="B16" s="2" t="s">
        <v>128</v>
      </c>
      <c r="C16" s="2" t="s">
        <v>27</v>
      </c>
      <c r="D16" s="2" t="s">
        <v>81</v>
      </c>
      <c r="E16" s="2" t="s">
        <v>129</v>
      </c>
      <c r="F16" s="2" t="s">
        <v>130</v>
      </c>
      <c r="G16" s="2" t="s">
        <v>54</v>
      </c>
      <c r="H16" s="2" t="s">
        <v>55</v>
      </c>
      <c r="I16" s="2" t="s">
        <v>45</v>
      </c>
      <c r="J16" s="3" t="s">
        <v>131</v>
      </c>
      <c r="K16" s="3" t="s">
        <v>132</v>
      </c>
      <c r="L16" s="2">
        <v>2</v>
      </c>
      <c r="M16" s="2">
        <v>180</v>
      </c>
      <c r="N16" s="2">
        <v>0.1</v>
      </c>
      <c r="O16" s="2">
        <v>260</v>
      </c>
      <c r="P16" s="2" t="s">
        <v>35</v>
      </c>
      <c r="Q16" s="2" t="s">
        <v>36</v>
      </c>
      <c r="R16" s="4">
        <f t="shared" si="0"/>
        <v>0.1</v>
      </c>
      <c r="S16" s="5">
        <f t="shared" si="1"/>
        <v>324</v>
      </c>
      <c r="T16" s="5">
        <f t="shared" si="2"/>
        <v>64</v>
      </c>
      <c r="U16" s="4">
        <f t="shared" si="3"/>
        <v>0.19753086419753085</v>
      </c>
      <c r="V16" s="6">
        <f t="shared" si="4"/>
        <v>3</v>
      </c>
      <c r="W16" s="7" t="str">
        <f t="shared" si="5"/>
        <v>March</v>
      </c>
      <c r="X16" s="6">
        <f t="shared" si="6"/>
        <v>2026</v>
      </c>
      <c r="Y16" s="7" t="str">
        <f t="shared" si="7"/>
        <v>Clean</v>
      </c>
    </row>
    <row r="17" spans="1:25" x14ac:dyDescent="0.25">
      <c r="A17" s="2" t="s">
        <v>133</v>
      </c>
      <c r="B17" s="2" t="s">
        <v>134</v>
      </c>
      <c r="C17" s="2" t="s">
        <v>27</v>
      </c>
      <c r="D17" s="2" t="s">
        <v>28</v>
      </c>
      <c r="E17" s="2" t="s">
        <v>29</v>
      </c>
      <c r="F17" s="2" t="s">
        <v>29</v>
      </c>
      <c r="G17" s="2" t="s">
        <v>43</v>
      </c>
      <c r="H17" s="2" t="s">
        <v>135</v>
      </c>
      <c r="I17" s="2" t="s">
        <v>32</v>
      </c>
      <c r="J17" s="3" t="s">
        <v>136</v>
      </c>
      <c r="K17" s="3" t="s">
        <v>137</v>
      </c>
      <c r="L17" s="2">
        <v>1</v>
      </c>
      <c r="M17" s="2">
        <v>10</v>
      </c>
      <c r="N17" s="2">
        <v>0</v>
      </c>
      <c r="O17" s="2">
        <v>5</v>
      </c>
      <c r="P17" s="2" t="s">
        <v>35</v>
      </c>
      <c r="Q17" s="2" t="s">
        <v>36</v>
      </c>
      <c r="R17" s="4">
        <f t="shared" si="0"/>
        <v>0</v>
      </c>
      <c r="S17" s="5">
        <f t="shared" si="1"/>
        <v>10</v>
      </c>
      <c r="T17" s="5">
        <f t="shared" si="2"/>
        <v>5</v>
      </c>
      <c r="U17" s="4">
        <f t="shared" si="3"/>
        <v>0.5</v>
      </c>
      <c r="V17" s="6">
        <f t="shared" si="4"/>
        <v>4</v>
      </c>
      <c r="W17" s="7" t="str">
        <f t="shared" si="5"/>
        <v>March</v>
      </c>
      <c r="X17" s="6">
        <f t="shared" si="6"/>
        <v>2026</v>
      </c>
      <c r="Y17" s="7" t="str">
        <f t="shared" si="7"/>
        <v>Clean</v>
      </c>
    </row>
    <row r="18" spans="1:25" x14ac:dyDescent="0.25">
      <c r="A18" s="2" t="s">
        <v>133</v>
      </c>
      <c r="B18" s="2" t="s">
        <v>138</v>
      </c>
      <c r="C18" s="2" t="s">
        <v>27</v>
      </c>
      <c r="D18" s="2" t="s">
        <v>28</v>
      </c>
      <c r="E18" s="2" t="s">
        <v>29</v>
      </c>
      <c r="F18" s="2" t="s">
        <v>29</v>
      </c>
      <c r="G18" s="2" t="s">
        <v>43</v>
      </c>
      <c r="H18" s="2" t="s">
        <v>135</v>
      </c>
      <c r="I18" s="2" t="s">
        <v>32</v>
      </c>
      <c r="J18" s="3" t="s">
        <v>136</v>
      </c>
      <c r="K18" s="3" t="s">
        <v>137</v>
      </c>
      <c r="L18" s="2">
        <v>5</v>
      </c>
      <c r="M18" s="2">
        <v>10</v>
      </c>
      <c r="N18" s="2">
        <v>0</v>
      </c>
      <c r="O18" s="2">
        <v>25</v>
      </c>
      <c r="P18" s="2" t="s">
        <v>35</v>
      </c>
      <c r="Q18" s="2" t="s">
        <v>36</v>
      </c>
      <c r="R18" s="4">
        <f t="shared" si="0"/>
        <v>0</v>
      </c>
      <c r="S18" s="5">
        <f t="shared" si="1"/>
        <v>50</v>
      </c>
      <c r="T18" s="5">
        <f t="shared" si="2"/>
        <v>25</v>
      </c>
      <c r="U18" s="4">
        <f t="shared" si="3"/>
        <v>0.5</v>
      </c>
      <c r="V18" s="6">
        <f t="shared" si="4"/>
        <v>4</v>
      </c>
      <c r="W18" s="7" t="str">
        <f t="shared" si="5"/>
        <v>March</v>
      </c>
      <c r="X18" s="6">
        <f t="shared" si="6"/>
        <v>2026</v>
      </c>
      <c r="Y18" s="7" t="str">
        <f t="shared" si="7"/>
        <v>Clean</v>
      </c>
    </row>
    <row r="19" spans="1:25" x14ac:dyDescent="0.25">
      <c r="A19" s="2" t="s">
        <v>139</v>
      </c>
      <c r="B19" s="2" t="s">
        <v>140</v>
      </c>
      <c r="C19" s="2" t="s">
        <v>50</v>
      </c>
      <c r="D19" s="2" t="s">
        <v>40</v>
      </c>
      <c r="E19" s="2" t="s">
        <v>141</v>
      </c>
      <c r="F19" s="2" t="s">
        <v>142</v>
      </c>
      <c r="G19" s="2" t="s">
        <v>30</v>
      </c>
      <c r="H19" s="2" t="s">
        <v>31</v>
      </c>
      <c r="I19" s="2" t="s">
        <v>32</v>
      </c>
      <c r="J19" s="3" t="s">
        <v>143</v>
      </c>
      <c r="K19" s="3" t="s">
        <v>144</v>
      </c>
      <c r="L19" s="2">
        <v>1</v>
      </c>
      <c r="M19" s="2">
        <v>600</v>
      </c>
      <c r="N19" s="2">
        <v>0</v>
      </c>
      <c r="O19" s="2">
        <v>450</v>
      </c>
      <c r="P19" s="2" t="s">
        <v>35</v>
      </c>
      <c r="Q19" s="2" t="s">
        <v>36</v>
      </c>
      <c r="R19" s="4">
        <f t="shared" si="0"/>
        <v>0</v>
      </c>
      <c r="S19" s="5">
        <f t="shared" si="1"/>
        <v>600</v>
      </c>
      <c r="T19" s="5">
        <f t="shared" si="2"/>
        <v>150</v>
      </c>
      <c r="U19" s="4">
        <f t="shared" si="3"/>
        <v>0.25</v>
      </c>
      <c r="V19" s="6">
        <f t="shared" si="4"/>
        <v>5</v>
      </c>
      <c r="W19" s="7" t="str">
        <f t="shared" si="5"/>
        <v>March</v>
      </c>
      <c r="X19" s="6">
        <f t="shared" si="6"/>
        <v>2026</v>
      </c>
      <c r="Y19" s="7" t="str">
        <f t="shared" si="7"/>
        <v>Clean</v>
      </c>
    </row>
    <row r="20" spans="1:25" x14ac:dyDescent="0.25">
      <c r="A20" s="2" t="s">
        <v>145</v>
      </c>
      <c r="B20" s="2" t="s">
        <v>146</v>
      </c>
      <c r="C20" s="2" t="s">
        <v>39</v>
      </c>
      <c r="D20" s="2" t="s">
        <v>51</v>
      </c>
      <c r="E20" s="2" t="s">
        <v>147</v>
      </c>
      <c r="F20" s="2" t="s">
        <v>148</v>
      </c>
      <c r="G20" s="2" t="s">
        <v>43</v>
      </c>
      <c r="H20" s="2" t="s">
        <v>77</v>
      </c>
      <c r="I20" s="2" t="s">
        <v>45</v>
      </c>
      <c r="J20" s="3" t="s">
        <v>149</v>
      </c>
      <c r="K20" s="3" t="s">
        <v>150</v>
      </c>
      <c r="L20" s="2">
        <v>12</v>
      </c>
      <c r="M20" s="2">
        <v>4</v>
      </c>
      <c r="N20" s="2">
        <v>0.2</v>
      </c>
      <c r="O20" s="2">
        <v>30</v>
      </c>
      <c r="P20" s="2" t="s">
        <v>35</v>
      </c>
      <c r="Q20" s="2" t="s">
        <v>36</v>
      </c>
      <c r="R20" s="4">
        <f t="shared" si="0"/>
        <v>0.2</v>
      </c>
      <c r="S20" s="5">
        <f t="shared" si="1"/>
        <v>38.400000000000006</v>
      </c>
      <c r="T20" s="5">
        <f t="shared" si="2"/>
        <v>8.4000000000000057</v>
      </c>
      <c r="U20" s="4">
        <f t="shared" si="3"/>
        <v>0.21875000000000011</v>
      </c>
      <c r="V20" s="6">
        <f t="shared" si="4"/>
        <v>4</v>
      </c>
      <c r="W20" s="7" t="str">
        <f t="shared" si="5"/>
        <v>March</v>
      </c>
      <c r="X20" s="6">
        <f t="shared" si="6"/>
        <v>2026</v>
      </c>
      <c r="Y20" s="7" t="str">
        <f t="shared" si="7"/>
        <v>Clean</v>
      </c>
    </row>
    <row r="21" spans="1:25" x14ac:dyDescent="0.25">
      <c r="A21" s="2" t="s">
        <v>151</v>
      </c>
      <c r="B21" s="2" t="s">
        <v>152</v>
      </c>
      <c r="C21" s="2" t="s">
        <v>27</v>
      </c>
      <c r="D21" s="2" t="s">
        <v>81</v>
      </c>
      <c r="E21" s="2" t="s">
        <v>153</v>
      </c>
      <c r="F21" s="2" t="s">
        <v>154</v>
      </c>
      <c r="G21" s="2" t="s">
        <v>54</v>
      </c>
      <c r="H21" s="2" t="s">
        <v>155</v>
      </c>
      <c r="I21" s="2" t="s">
        <v>32</v>
      </c>
      <c r="J21" s="3" t="s">
        <v>150</v>
      </c>
      <c r="K21" s="3" t="s">
        <v>156</v>
      </c>
      <c r="L21" s="2">
        <v>1</v>
      </c>
      <c r="M21" s="2">
        <v>250</v>
      </c>
      <c r="N21" s="2">
        <v>0.15</v>
      </c>
      <c r="O21" s="2">
        <v>200</v>
      </c>
      <c r="P21" s="2" t="s">
        <v>35</v>
      </c>
      <c r="Q21" s="2" t="s">
        <v>36</v>
      </c>
      <c r="R21" s="4">
        <f t="shared" si="0"/>
        <v>0.15</v>
      </c>
      <c r="S21" s="5">
        <f t="shared" si="1"/>
        <v>212.5</v>
      </c>
      <c r="T21" s="5">
        <f t="shared" si="2"/>
        <v>12.5</v>
      </c>
      <c r="U21" s="4">
        <f t="shared" si="3"/>
        <v>5.8823529411764705E-2</v>
      </c>
      <c r="V21" s="6">
        <f t="shared" si="4"/>
        <v>6</v>
      </c>
      <c r="W21" s="7" t="str">
        <f t="shared" si="5"/>
        <v>March</v>
      </c>
      <c r="X21" s="6">
        <f t="shared" si="6"/>
        <v>2026</v>
      </c>
      <c r="Y21" s="7" t="str">
        <f t="shared" si="7"/>
        <v>Clean</v>
      </c>
    </row>
    <row r="22" spans="1:25" x14ac:dyDescent="0.25">
      <c r="A22" s="2" t="s">
        <v>157</v>
      </c>
      <c r="B22" s="2" t="s">
        <v>158</v>
      </c>
      <c r="C22" s="2" t="s">
        <v>39</v>
      </c>
      <c r="D22" s="2" t="s">
        <v>28</v>
      </c>
      <c r="E22" s="2" t="s">
        <v>159</v>
      </c>
      <c r="F22" s="2" t="s">
        <v>160</v>
      </c>
      <c r="G22" s="2" t="s">
        <v>30</v>
      </c>
      <c r="H22" s="2" t="s">
        <v>63</v>
      </c>
      <c r="I22" s="2" t="s">
        <v>56</v>
      </c>
      <c r="J22" s="3" t="s">
        <v>161</v>
      </c>
      <c r="K22" s="3" t="s">
        <v>162</v>
      </c>
      <c r="L22" s="2">
        <v>4</v>
      </c>
      <c r="M22" s="2">
        <v>50</v>
      </c>
      <c r="N22" s="2">
        <v>0</v>
      </c>
      <c r="O22" s="2">
        <v>140</v>
      </c>
      <c r="P22" s="2" t="s">
        <v>35</v>
      </c>
      <c r="Q22" s="2" t="s">
        <v>36</v>
      </c>
      <c r="R22" s="4">
        <f t="shared" si="0"/>
        <v>0</v>
      </c>
      <c r="S22" s="5">
        <f t="shared" si="1"/>
        <v>200</v>
      </c>
      <c r="T22" s="5">
        <f t="shared" si="2"/>
        <v>60</v>
      </c>
      <c r="U22" s="4">
        <f t="shared" si="3"/>
        <v>0.3</v>
      </c>
      <c r="V22" s="6">
        <f t="shared" si="4"/>
        <v>1</v>
      </c>
      <c r="W22" s="7" t="str">
        <f t="shared" si="5"/>
        <v>March</v>
      </c>
      <c r="X22" s="6">
        <f t="shared" si="6"/>
        <v>2026</v>
      </c>
      <c r="Y22" s="7" t="str">
        <f t="shared" si="7"/>
        <v>Clean</v>
      </c>
    </row>
    <row r="23" spans="1:25" x14ac:dyDescent="0.25">
      <c r="A23" s="2" t="s">
        <v>163</v>
      </c>
      <c r="B23" s="2" t="s">
        <v>164</v>
      </c>
      <c r="C23" s="2" t="s">
        <v>50</v>
      </c>
      <c r="D23" s="2" t="s">
        <v>40</v>
      </c>
      <c r="E23" s="2" t="s">
        <v>165</v>
      </c>
      <c r="F23" s="2" t="s">
        <v>166</v>
      </c>
      <c r="G23" s="2" t="s">
        <v>43</v>
      </c>
      <c r="H23" s="2" t="s">
        <v>93</v>
      </c>
      <c r="I23" s="2" t="s">
        <v>32</v>
      </c>
      <c r="J23" s="3" t="s">
        <v>167</v>
      </c>
      <c r="K23" s="3" t="s">
        <v>168</v>
      </c>
      <c r="L23" s="2">
        <v>6</v>
      </c>
      <c r="M23" s="2">
        <v>15</v>
      </c>
      <c r="N23" s="2">
        <v>0</v>
      </c>
      <c r="O23" s="2">
        <v>60</v>
      </c>
      <c r="P23" s="2" t="s">
        <v>35</v>
      </c>
      <c r="Q23" s="2" t="s">
        <v>36</v>
      </c>
      <c r="R23" s="4">
        <f t="shared" si="0"/>
        <v>0</v>
      </c>
      <c r="S23" s="5">
        <f t="shared" si="1"/>
        <v>90</v>
      </c>
      <c r="T23" s="5">
        <f t="shared" si="2"/>
        <v>30</v>
      </c>
      <c r="U23" s="4">
        <f t="shared" si="3"/>
        <v>0.33333333333333331</v>
      </c>
      <c r="V23" s="6">
        <f t="shared" si="4"/>
        <v>5</v>
      </c>
      <c r="W23" s="7" t="str">
        <f t="shared" si="5"/>
        <v>March</v>
      </c>
      <c r="X23" s="6">
        <f t="shared" si="6"/>
        <v>2026</v>
      </c>
      <c r="Y23" s="7" t="str">
        <f t="shared" si="7"/>
        <v>Clean</v>
      </c>
    </row>
    <row r="24" spans="1:25" x14ac:dyDescent="0.25">
      <c r="A24" s="2" t="s">
        <v>169</v>
      </c>
      <c r="B24" s="2" t="s">
        <v>170</v>
      </c>
      <c r="C24" s="2" t="s">
        <v>27</v>
      </c>
      <c r="D24" s="2" t="s">
        <v>51</v>
      </c>
      <c r="E24" s="2" t="s">
        <v>171</v>
      </c>
      <c r="F24" s="2" t="s">
        <v>172</v>
      </c>
      <c r="G24" s="2" t="s">
        <v>54</v>
      </c>
      <c r="H24" s="2" t="s">
        <v>70</v>
      </c>
      <c r="I24" s="2" t="s">
        <v>32</v>
      </c>
      <c r="J24" s="3" t="s">
        <v>173</v>
      </c>
      <c r="K24" s="3" t="s">
        <v>174</v>
      </c>
      <c r="L24" s="2">
        <v>1</v>
      </c>
      <c r="M24" s="2">
        <v>350</v>
      </c>
      <c r="N24" s="2">
        <v>0.3</v>
      </c>
      <c r="O24" s="2">
        <v>300</v>
      </c>
      <c r="P24" s="2" t="s">
        <v>35</v>
      </c>
      <c r="Q24" s="2" t="s">
        <v>36</v>
      </c>
      <c r="R24" s="4">
        <f t="shared" si="0"/>
        <v>0.3</v>
      </c>
      <c r="S24" s="5">
        <f t="shared" si="1"/>
        <v>244.99999999999997</v>
      </c>
      <c r="T24" s="5">
        <f t="shared" si="2"/>
        <v>-55.000000000000028</v>
      </c>
      <c r="U24" s="4">
        <f t="shared" si="3"/>
        <v>-0.22448979591836749</v>
      </c>
      <c r="V24" s="6">
        <f t="shared" si="4"/>
        <v>7</v>
      </c>
      <c r="W24" s="7" t="str">
        <f t="shared" si="5"/>
        <v>March</v>
      </c>
      <c r="X24" s="6">
        <f t="shared" si="6"/>
        <v>2026</v>
      </c>
      <c r="Y24" s="7" t="str">
        <f t="shared" si="7"/>
        <v>Clean</v>
      </c>
    </row>
    <row r="25" spans="1:25" x14ac:dyDescent="0.25">
      <c r="A25" s="2" t="s">
        <v>175</v>
      </c>
      <c r="B25" s="2" t="s">
        <v>176</v>
      </c>
      <c r="C25" s="2" t="s">
        <v>39</v>
      </c>
      <c r="D25" s="2" t="s">
        <v>81</v>
      </c>
      <c r="E25" s="2" t="s">
        <v>177</v>
      </c>
      <c r="F25" s="2" t="s">
        <v>178</v>
      </c>
      <c r="G25" s="2" t="s">
        <v>30</v>
      </c>
      <c r="H25" s="2" t="s">
        <v>31</v>
      </c>
      <c r="I25" s="2" t="s">
        <v>45</v>
      </c>
      <c r="J25" s="3" t="s">
        <v>179</v>
      </c>
      <c r="K25" s="3" t="s">
        <v>180</v>
      </c>
      <c r="L25" s="2">
        <v>2</v>
      </c>
      <c r="M25" s="2">
        <v>400</v>
      </c>
      <c r="N25" s="2">
        <v>0</v>
      </c>
      <c r="O25" s="2">
        <v>600</v>
      </c>
      <c r="P25" s="2" t="s">
        <v>35</v>
      </c>
      <c r="Q25" s="2" t="s">
        <v>36</v>
      </c>
      <c r="R25" s="4">
        <f t="shared" si="0"/>
        <v>0</v>
      </c>
      <c r="S25" s="5">
        <f t="shared" si="1"/>
        <v>800</v>
      </c>
      <c r="T25" s="5">
        <f t="shared" si="2"/>
        <v>200</v>
      </c>
      <c r="U25" s="4">
        <f t="shared" si="3"/>
        <v>0.25</v>
      </c>
      <c r="V25" s="6">
        <f t="shared" si="4"/>
        <v>3</v>
      </c>
      <c r="W25" s="7" t="str">
        <f t="shared" si="5"/>
        <v>March</v>
      </c>
      <c r="X25" s="6">
        <f t="shared" si="6"/>
        <v>2026</v>
      </c>
      <c r="Y25" s="7" t="str">
        <f t="shared" si="7"/>
        <v>Clean</v>
      </c>
    </row>
    <row r="26" spans="1:25" x14ac:dyDescent="0.25">
      <c r="A26" s="2" t="s">
        <v>181</v>
      </c>
      <c r="B26" s="2" t="s">
        <v>182</v>
      </c>
      <c r="C26" s="2" t="s">
        <v>27</v>
      </c>
      <c r="D26" s="2" t="s">
        <v>28</v>
      </c>
      <c r="E26" s="2" t="s">
        <v>183</v>
      </c>
      <c r="F26" s="2" t="s">
        <v>184</v>
      </c>
      <c r="G26" s="2" t="s">
        <v>43</v>
      </c>
      <c r="H26" s="2" t="s">
        <v>44</v>
      </c>
      <c r="I26" s="2" t="s">
        <v>32</v>
      </c>
      <c r="J26" s="3" t="s">
        <v>180</v>
      </c>
      <c r="K26" s="3" t="s">
        <v>185</v>
      </c>
      <c r="L26" s="2">
        <v>10</v>
      </c>
      <c r="M26" s="2">
        <v>10</v>
      </c>
      <c r="N26" s="2">
        <v>0</v>
      </c>
      <c r="O26" s="2">
        <v>60</v>
      </c>
      <c r="P26" s="2" t="s">
        <v>35</v>
      </c>
      <c r="Q26" s="2" t="s">
        <v>36</v>
      </c>
      <c r="R26" s="4">
        <f t="shared" si="0"/>
        <v>0</v>
      </c>
      <c r="S26" s="5">
        <f t="shared" si="1"/>
        <v>100</v>
      </c>
      <c r="T26" s="5">
        <f t="shared" si="2"/>
        <v>40</v>
      </c>
      <c r="U26" s="4">
        <f t="shared" si="3"/>
        <v>0.4</v>
      </c>
      <c r="V26" s="6">
        <f t="shared" si="4"/>
        <v>4</v>
      </c>
      <c r="W26" s="7" t="str">
        <f t="shared" si="5"/>
        <v>March</v>
      </c>
      <c r="X26" s="6">
        <f t="shared" si="6"/>
        <v>2026</v>
      </c>
      <c r="Y26" s="7" t="str">
        <f t="shared" si="7"/>
        <v>Clean</v>
      </c>
    </row>
    <row r="27" spans="1:25" x14ac:dyDescent="0.25">
      <c r="A27" s="2" t="s">
        <v>186</v>
      </c>
      <c r="B27" s="2" t="s">
        <v>187</v>
      </c>
      <c r="C27" s="2" t="s">
        <v>50</v>
      </c>
      <c r="D27" s="2" t="s">
        <v>40</v>
      </c>
      <c r="E27" s="2" t="s">
        <v>188</v>
      </c>
      <c r="F27" s="2" t="s">
        <v>189</v>
      </c>
      <c r="G27" s="2" t="s">
        <v>54</v>
      </c>
      <c r="H27" s="2" t="s">
        <v>55</v>
      </c>
      <c r="I27" s="2" t="s">
        <v>94</v>
      </c>
      <c r="J27" s="3" t="s">
        <v>190</v>
      </c>
      <c r="K27" s="3" t="s">
        <v>190</v>
      </c>
      <c r="L27" s="2">
        <v>1</v>
      </c>
      <c r="M27" s="2">
        <v>220</v>
      </c>
      <c r="N27" s="2">
        <v>0.1</v>
      </c>
      <c r="O27" s="2">
        <v>180</v>
      </c>
      <c r="P27" s="2" t="s">
        <v>35</v>
      </c>
      <c r="Q27" s="2" t="s">
        <v>36</v>
      </c>
      <c r="R27" s="4">
        <f t="shared" si="0"/>
        <v>0.1</v>
      </c>
      <c r="S27" s="5">
        <f t="shared" si="1"/>
        <v>198</v>
      </c>
      <c r="T27" s="5">
        <f t="shared" si="2"/>
        <v>18</v>
      </c>
      <c r="U27" s="4">
        <f t="shared" si="3"/>
        <v>9.0909090909090912E-2</v>
      </c>
      <c r="V27" s="6">
        <f t="shared" si="4"/>
        <v>0</v>
      </c>
      <c r="W27" s="7" t="str">
        <f t="shared" si="5"/>
        <v>April</v>
      </c>
      <c r="X27" s="6">
        <f t="shared" si="6"/>
        <v>2026</v>
      </c>
      <c r="Y27" s="7" t="str">
        <f t="shared" si="7"/>
        <v>Clean</v>
      </c>
    </row>
    <row r="28" spans="1:25" x14ac:dyDescent="0.25">
      <c r="A28" s="2" t="s">
        <v>191</v>
      </c>
      <c r="B28" s="2" t="s">
        <v>192</v>
      </c>
      <c r="C28" s="2" t="s">
        <v>39</v>
      </c>
      <c r="D28" s="2" t="s">
        <v>51</v>
      </c>
      <c r="E28" s="2" t="s">
        <v>193</v>
      </c>
      <c r="F28" s="2" t="s">
        <v>194</v>
      </c>
      <c r="G28" s="2" t="s">
        <v>30</v>
      </c>
      <c r="H28" s="2" t="s">
        <v>63</v>
      </c>
      <c r="I28" s="2" t="s">
        <v>32</v>
      </c>
      <c r="J28" s="3" t="s">
        <v>195</v>
      </c>
      <c r="K28" s="3" t="s">
        <v>196</v>
      </c>
      <c r="L28" s="2">
        <v>3</v>
      </c>
      <c r="M28" s="2">
        <v>60</v>
      </c>
      <c r="N28" s="2">
        <v>0</v>
      </c>
      <c r="O28" s="2">
        <v>120</v>
      </c>
      <c r="P28" s="2" t="s">
        <v>35</v>
      </c>
      <c r="Q28" s="2" t="s">
        <v>36</v>
      </c>
      <c r="R28" s="4">
        <f t="shared" si="0"/>
        <v>0</v>
      </c>
      <c r="S28" s="5">
        <f t="shared" si="1"/>
        <v>180</v>
      </c>
      <c r="T28" s="5">
        <f t="shared" si="2"/>
        <v>60</v>
      </c>
      <c r="U28" s="4">
        <f t="shared" si="3"/>
        <v>0.33333333333333331</v>
      </c>
      <c r="V28" s="6">
        <f t="shared" si="4"/>
        <v>6</v>
      </c>
      <c r="W28" s="7" t="str">
        <f t="shared" si="5"/>
        <v>April</v>
      </c>
      <c r="X28" s="6">
        <f t="shared" si="6"/>
        <v>2026</v>
      </c>
      <c r="Y28" s="7" t="str">
        <f t="shared" si="7"/>
        <v>Clean</v>
      </c>
    </row>
    <row r="29" spans="1:25" x14ac:dyDescent="0.25">
      <c r="A29" s="2" t="s">
        <v>197</v>
      </c>
      <c r="B29" s="2" t="s">
        <v>198</v>
      </c>
      <c r="C29" s="2" t="s">
        <v>27</v>
      </c>
      <c r="D29" s="2" t="s">
        <v>81</v>
      </c>
      <c r="E29" s="2" t="s">
        <v>199</v>
      </c>
      <c r="F29" s="2" t="s">
        <v>200</v>
      </c>
      <c r="G29" s="2" t="s">
        <v>43</v>
      </c>
      <c r="H29" s="2" t="s">
        <v>111</v>
      </c>
      <c r="I29" s="2" t="s">
        <v>45</v>
      </c>
      <c r="J29" s="3" t="s">
        <v>201</v>
      </c>
      <c r="K29" s="3" t="s">
        <v>202</v>
      </c>
      <c r="L29" s="2">
        <v>4</v>
      </c>
      <c r="M29" s="2">
        <v>35</v>
      </c>
      <c r="N29" s="2">
        <v>0</v>
      </c>
      <c r="O29" s="2">
        <v>100</v>
      </c>
      <c r="P29" s="2" t="s">
        <v>35</v>
      </c>
      <c r="Q29" s="2" t="s">
        <v>36</v>
      </c>
      <c r="R29" s="4">
        <f t="shared" si="0"/>
        <v>0</v>
      </c>
      <c r="S29" s="5">
        <f t="shared" si="1"/>
        <v>140</v>
      </c>
      <c r="T29" s="5">
        <f t="shared" si="2"/>
        <v>40</v>
      </c>
      <c r="U29" s="4">
        <f t="shared" si="3"/>
        <v>0.2857142857142857</v>
      </c>
      <c r="V29" s="6">
        <f t="shared" si="4"/>
        <v>4</v>
      </c>
      <c r="W29" s="7" t="str">
        <f t="shared" si="5"/>
        <v>April</v>
      </c>
      <c r="X29" s="6">
        <f t="shared" si="6"/>
        <v>2026</v>
      </c>
      <c r="Y29" s="7" t="str">
        <f t="shared" si="7"/>
        <v>Clean</v>
      </c>
    </row>
    <row r="30" spans="1:25" x14ac:dyDescent="0.25">
      <c r="A30" s="2" t="s">
        <v>203</v>
      </c>
      <c r="B30" s="2" t="s">
        <v>26</v>
      </c>
      <c r="C30" s="2" t="s">
        <v>27</v>
      </c>
      <c r="D30" s="2" t="s">
        <v>28</v>
      </c>
      <c r="E30" s="2" t="s">
        <v>29</v>
      </c>
      <c r="F30" s="2" t="s">
        <v>29</v>
      </c>
      <c r="G30" s="2" t="s">
        <v>54</v>
      </c>
      <c r="H30" s="2" t="s">
        <v>155</v>
      </c>
      <c r="I30" s="2" t="s">
        <v>32</v>
      </c>
      <c r="J30" s="3" t="s">
        <v>202</v>
      </c>
      <c r="K30" s="3" t="s">
        <v>204</v>
      </c>
      <c r="L30" s="2">
        <v>1</v>
      </c>
      <c r="M30" s="2">
        <v>180</v>
      </c>
      <c r="N30" s="2">
        <v>0</v>
      </c>
      <c r="O30" s="2">
        <v>150</v>
      </c>
      <c r="P30" s="2" t="s">
        <v>35</v>
      </c>
      <c r="Q30" s="2" t="s">
        <v>36</v>
      </c>
      <c r="R30" s="4">
        <f t="shared" si="0"/>
        <v>0</v>
      </c>
      <c r="S30" s="5">
        <f t="shared" si="1"/>
        <v>180</v>
      </c>
      <c r="T30" s="5">
        <f t="shared" si="2"/>
        <v>30</v>
      </c>
      <c r="U30" s="4">
        <f t="shared" si="3"/>
        <v>0.16666666666666666</v>
      </c>
      <c r="V30" s="6">
        <f t="shared" si="4"/>
        <v>6</v>
      </c>
      <c r="W30" s="7" t="str">
        <f t="shared" si="5"/>
        <v>April</v>
      </c>
      <c r="X30" s="6">
        <f t="shared" si="6"/>
        <v>2026</v>
      </c>
      <c r="Y30" s="7" t="str">
        <f t="shared" si="7"/>
        <v>Clean</v>
      </c>
    </row>
    <row r="31" spans="1:25" x14ac:dyDescent="0.25">
      <c r="A31" s="2" t="s">
        <v>205</v>
      </c>
      <c r="B31" s="2" t="s">
        <v>38</v>
      </c>
      <c r="C31" s="2" t="s">
        <v>39</v>
      </c>
      <c r="D31" s="2" t="s">
        <v>40</v>
      </c>
      <c r="E31" s="2" t="s">
        <v>41</v>
      </c>
      <c r="F31" s="2" t="s">
        <v>42</v>
      </c>
      <c r="G31" s="2" t="s">
        <v>43</v>
      </c>
      <c r="H31" s="2" t="s">
        <v>77</v>
      </c>
      <c r="I31" s="2" t="s">
        <v>32</v>
      </c>
      <c r="J31" s="3" t="s">
        <v>206</v>
      </c>
      <c r="K31" s="3" t="s">
        <v>207</v>
      </c>
      <c r="L31" s="2">
        <v>15</v>
      </c>
      <c r="M31" s="2">
        <v>6</v>
      </c>
      <c r="N31" s="2">
        <v>0.25</v>
      </c>
      <c r="O31" s="2">
        <v>50</v>
      </c>
      <c r="P31" s="2" t="s">
        <v>35</v>
      </c>
      <c r="Q31" s="2" t="s">
        <v>36</v>
      </c>
      <c r="R31" s="4">
        <f t="shared" si="0"/>
        <v>0.25</v>
      </c>
      <c r="S31" s="5">
        <f t="shared" si="1"/>
        <v>67.5</v>
      </c>
      <c r="T31" s="5">
        <f t="shared" si="2"/>
        <v>17.5</v>
      </c>
      <c r="U31" s="4">
        <f t="shared" si="3"/>
        <v>0.25925925925925924</v>
      </c>
      <c r="V31" s="6">
        <f t="shared" si="4"/>
        <v>5</v>
      </c>
      <c r="W31" s="7" t="str">
        <f t="shared" si="5"/>
        <v>April</v>
      </c>
      <c r="X31" s="6">
        <f t="shared" si="6"/>
        <v>2026</v>
      </c>
      <c r="Y31" s="7" t="str">
        <f t="shared" si="7"/>
        <v>Clean</v>
      </c>
    </row>
    <row r="32" spans="1:25" x14ac:dyDescent="0.25">
      <c r="A32" s="2" t="s">
        <v>208</v>
      </c>
      <c r="B32" s="2" t="s">
        <v>49</v>
      </c>
      <c r="C32" s="2" t="s">
        <v>50</v>
      </c>
      <c r="D32" s="2" t="s">
        <v>51</v>
      </c>
      <c r="E32" s="2" t="s">
        <v>52</v>
      </c>
      <c r="F32" s="2" t="s">
        <v>53</v>
      </c>
      <c r="G32" s="2" t="s">
        <v>30</v>
      </c>
      <c r="H32" s="2" t="s">
        <v>31</v>
      </c>
      <c r="I32" s="2" t="s">
        <v>56</v>
      </c>
      <c r="J32" s="3" t="s">
        <v>209</v>
      </c>
      <c r="K32" s="3" t="s">
        <v>210</v>
      </c>
      <c r="L32" s="2">
        <v>1</v>
      </c>
      <c r="M32" s="2">
        <v>700</v>
      </c>
      <c r="N32" s="2">
        <v>0.1</v>
      </c>
      <c r="O32" s="2">
        <v>550</v>
      </c>
      <c r="P32" s="2" t="s">
        <v>35</v>
      </c>
      <c r="Q32" s="2" t="s">
        <v>36</v>
      </c>
      <c r="R32" s="4">
        <f t="shared" si="0"/>
        <v>0.1</v>
      </c>
      <c r="S32" s="5">
        <f t="shared" si="1"/>
        <v>630</v>
      </c>
      <c r="T32" s="5">
        <f t="shared" si="2"/>
        <v>80</v>
      </c>
      <c r="U32" s="4">
        <f t="shared" si="3"/>
        <v>0.12698412698412698</v>
      </c>
      <c r="V32" s="6">
        <f t="shared" si="4"/>
        <v>2</v>
      </c>
      <c r="W32" s="7" t="str">
        <f t="shared" si="5"/>
        <v>April</v>
      </c>
      <c r="X32" s="6">
        <f t="shared" si="6"/>
        <v>2026</v>
      </c>
      <c r="Y32" s="7" t="str">
        <f t="shared" si="7"/>
        <v>Clean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Orders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2026-06-28T12:25:56Z</dcterms:created>
  <dcterms:modified xsi:type="dcterms:W3CDTF">2026-06-28T12:46:29Z</dcterms:modified>
</cp:coreProperties>
</file>